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bookViews>
    <workbookView xWindow="-120" yWindow="-120" windowWidth="25440" windowHeight="15270" tabRatio="964" activeTab="1"/>
  </bookViews>
  <sheets>
    <sheet name="第一页" sheetId="1" r:id="rId1"/>
    <sheet name="第二页反应工序" sheetId="2" r:id="rId2"/>
    <sheet name="第三页闪蒸工序" sheetId="5" r:id="rId3"/>
    <sheet name="第四页反应液分析数据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5" l="1"/>
  <c r="C12" i="16" l="1"/>
  <c r="E8" i="7"/>
  <c r="E7" i="7"/>
  <c r="E6" i="7"/>
  <c r="E8" i="6"/>
  <c r="E9" i="6"/>
  <c r="E10" i="6"/>
  <c r="F8" i="6"/>
  <c r="F9" i="6"/>
  <c r="F10" i="6"/>
  <c r="F7" i="6"/>
  <c r="E7" i="6"/>
  <c r="E6" i="6"/>
  <c r="F6" i="6"/>
  <c r="H9" i="3"/>
  <c r="H6" i="3"/>
  <c r="H7" i="3"/>
  <c r="H8" i="3"/>
  <c r="H5" i="3"/>
  <c r="E13" i="16"/>
  <c r="D13" i="16"/>
  <c r="E12" i="16"/>
  <c r="D12" i="16"/>
  <c r="C13" i="16"/>
  <c r="M22" i="15"/>
  <c r="M20" i="15"/>
  <c r="M17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8" i="9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E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F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=FT-07111本周进料累计/实际运行时间
</t>
        </r>
      </text>
    </comment>
    <comment ref="D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F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D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E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<sst xmlns="http://schemas.openxmlformats.org/spreadsheetml/2006/main" count="288" uniqueCount="190">
  <si>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</si>
  <si>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</si>
  <si>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</si>
  <si>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</si>
  <si>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</si>
  <si>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</si>
  <si>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</si>
  <si>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</si>
  <si>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</si>
  <si>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</si>
  <si>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</si>
  <si>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</si>
  <si>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</si>
  <si>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</si>
  <si>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</si>
  <si>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</si>
  <si>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</si>
  <si>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</si>
  <si>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</si>
  <si>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</si>
  <si>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</si>
  <si>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</si>
  <si>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</si>
  <si>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</si>
  <si>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</si>
  <si>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</si>
  <si>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</si>
  <si>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</si>
  <si>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</si>
  <si>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</si>
  <si>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</si>
  <si>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</si>
  <si>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</si>
  <si>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</si>
  <si>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</si>
  <si>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</si>
  <si>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</si>
  <si>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</si>
  <si>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</si>
  <si>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</si>
  <si>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</si>
  <si>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</si>
  <si>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</si>
  <si>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</si>
  <si>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</si>
  <si>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</si>
  <si>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</si>
  <si>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</si>
  <si>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</si>
  <si>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</si>
  <si>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</si>
  <si>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</si>
  <si>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</si>
  <si>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</si>
  <si>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</si>
  <si>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</si>
  <si>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</si>
  <si>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</si>
  <si>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</si>
  <si>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</si>
  <si>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</si>
  <si>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上周一次结晶</t>
    <phoneticPr fontId="1" type="noConversion"/>
  </si>
  <si>
    <t xml:space="preserve">上周二次结晶</t>
    <phoneticPr fontId="1" type="noConversion"/>
  </si>
  <si>
    <t xml:space="preserve">本周一次结晶</t>
    <phoneticPr fontId="1" type="noConversion"/>
  </si>
  <si>
    <t xml:space="preserve">本周二次结晶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</si>
  <si>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</si>
  <si>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</si>
  <si>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</si>
  <si>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</si>
  <si>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</si>
  <si>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</si>
  <si>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</si>
  <si>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</si>
  <si>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</si>
  <si>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</si>
  <si>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</si>
  <si>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</si>
  <si>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</si>
  <si>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</si>
  <si>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</si>
  <si>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</si>
  <si>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</si>
  <si>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</si>
  <si>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</si>
  <si>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</si>
  <si>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</si>
  <si>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</si>
  <si>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</si>
  <si>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</si>
  <si>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</si>
  <si>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</si>
  <si>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</si>
  <si>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</si>
  <si>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</si>
  <si>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</si>
  <si>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</si>
  <si>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</si>
  <si>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</si>
  <si>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</si>
  <si>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</si>
  <si>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</si>
  <si>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</si>
  <si>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</si>
  <si>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</si>
  <si>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</si>
  <si>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                             时间
 指 标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</si>
  <si>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</si>
  <si>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</si>
  <si>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</si>
  <si>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</si>
  <si>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</si>
  <si>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</si>
  <si>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</si>
  <si>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</si>
  <si>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</si>
  <si>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</si>
  <si>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</si>
  <si>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</si>
  <si>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</si>
  <si>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</si>
  <si>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</si>
  <si>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</si>
  <si>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</si>
  <si>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</si>
  <si>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</si>
  <si>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</si>
  <si>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</si>
  <si>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</si>
  <si>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</si>
  <si>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</si>
  <si>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</si>
  <si>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</si>
  <si>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</si>
  <si>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</si>
  <si>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</si>
  <si>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</si>
  <si>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三、转化率</t>
    <phoneticPr fontId="1" type="noConversion"/>
  </si>
  <si>
    <t xml:space="preserve">羟基乙腈</t>
    <phoneticPr fontId="1" type="noConversion"/>
  </si>
  <si>
    <t xml:space="preserve">四、收率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</si>
  <si>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</si>
  <si>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</si>
  <si>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五、废液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</si>
  <si>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</si>
  <si>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</si>
  <si>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</si>
  <si>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</si>
  <si>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</si>
  <si>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</si>
  <si>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</si>
  <si>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</si>
  <si>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</si>
  <si>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</si>
  <si>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</si>
  <si>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</si>
  <si>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</si>
  <si>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</si>
  <si>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</si>
  <si>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</si>
  <si>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</si>
  <si>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</si>
  <si>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</si>
  <si>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</si>
  <si>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</si>
  <si>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</si>
  <si>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</si>
  <si>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</si>
  <si>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</si>
  <si>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</si>
  <si>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</si>
  <si>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</si>
  <si>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</si>
  <si>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</si>
  <si>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</si>
  <si>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折干产量</t>
    <phoneticPr fontId="1" type="noConversion"/>
  </si>
  <si>
    <t xml:space="preserve">转化率</t>
    <phoneticPr fontId="1" type="noConversion"/>
  </si>
  <si>
    <t xml:space="preserve">收率</t>
    <phoneticPr fontId="1" type="noConversion"/>
  </si>
  <si>
    <t xml:space="preserve">转
化
率
（%）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</si>
  <si>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</si>
  <si>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</si>
  <si>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</si>
  <si>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</si>
  <si>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</si>
  <si>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</si>
  <si>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</si>
  <si>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</si>
  <si>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</si>
  <si>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</si>
  <si>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</si>
  <si>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</si>
  <si>
    <t xml:space="preserve">2026-02-02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</si>
</sst>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0" xfId="0" applyBorder="1"/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10180952" cy="5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1533525</xdr:colOff>
      <xdr:row>7</xdr:row>
      <xdr:rowOff>0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24F0CCF0-1EB2-B2DF-E588-CF1E43FFB6DC}"/>
            </a:ext>
          </a:extLst>
        </xdr:cNvPr>
        <xdr:cNvCxnSpPr/>
      </xdr:nvCxnSpPr>
      <xdr:spPr>
        <a:xfrm>
          <a:off x="1371600" y="1381125"/>
          <a:ext cx="1533525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workbookViewId="0">
      <selection activeCell="X1" sqref="X1"/>
    </sheetView>
  </sheetViews>
  <sheetFormatPr defaultRowHeight="14.25"/>
  <cols>
    <col min="1" max="1" width="1.875" customWidth="1"/>
  </cols>
  <sheetData>
    <row r="1">
      <c r="A1" s="0" t="s">
        <v>189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2"/>
  <sheetViews>
    <sheetView tabSelected="1" workbookViewId="0">
      <selection activeCell="X1" sqref="X1"/>
    </sheetView>
  </sheetViews>
  <sheetFormatPr defaultRowHeight="12.75"/>
  <cols>
    <col min="1" max="1" width="1.625" style="2" customWidth="1"/>
    <col min="2" max="10" width="9" style="2"/>
  </cols>
  <sheetData>
    <row r="2" spans="2:11" ht="27.75" customHeight="1">
      <c r="B2" s="103" t="s">
        <v>181</v>
      </c>
      <c r="C2" s="103"/>
      <c r="D2" s="103"/>
      <c r="E2" s="103"/>
      <c r="F2" s="103"/>
      <c r="G2" s="103"/>
      <c r="H2" s="103"/>
      <c r="I2" s="103"/>
      <c r="J2" s="103"/>
      <c r="K2" s="103"/>
    </row>
    <row r="3" spans="2:11" ht="15" customHeight="1">
      <c r="B3" s="101"/>
      <c r="C3" s="102"/>
      <c r="D3" s="102"/>
      <c r="E3" s="102"/>
      <c r="F3" s="102"/>
      <c r="G3" s="102"/>
      <c r="H3" s="102"/>
      <c r="I3" s="102"/>
      <c r="J3" s="102"/>
      <c r="K3" s="102"/>
    </row>
    <row r="4" spans="2:11" ht="30" customHeight="1">
      <c r="B4" s="13" t="s">
        <v>16</v>
      </c>
      <c r="C4" s="14" t="s">
        <v>3</v>
      </c>
      <c r="D4" s="14" t="s">
        <v>7</v>
      </c>
      <c r="E4" s="14" t="s">
        <v>9</v>
      </c>
      <c r="F4" s="14" t="s">
        <v>8</v>
      </c>
      <c r="G4" s="14" t="s">
        <v>2</v>
      </c>
      <c r="H4" s="14" t="s">
        <v>4</v>
      </c>
      <c r="I4" s="14" t="s">
        <v>6</v>
      </c>
      <c r="J4" s="26" t="s">
        <v>5</v>
      </c>
      <c r="K4" s="15" t="s">
        <v>20</v>
      </c>
    </row>
    <row r="5" spans="2:11" ht="24.95" customHeight="1">
      <c r="B5" s="10" t="s">
        <v>1</v>
      </c>
      <c r="C5" s="11" t="s">
        <v>10</v>
      </c>
      <c r="D5" s="11" t="s">
        <v>11</v>
      </c>
      <c r="E5" s="11" t="s">
        <v>12</v>
      </c>
      <c r="F5" s="11" t="s">
        <v>10</v>
      </c>
      <c r="G5" s="11" t="s">
        <v>13</v>
      </c>
      <c r="H5" s="11" t="s">
        <v>15</v>
      </c>
      <c r="I5" s="11" t="s">
        <v>13</v>
      </c>
      <c r="J5" s="27" t="s">
        <v>13</v>
      </c>
      <c r="K5" s="12" t="s">
        <v>14</v>
      </c>
    </row>
    <row r="6" spans="2:11" ht="24.95" customHeight="1">
      <c r="B6" s="16" t="s">
        <v>0</v>
      </c>
      <c r="C6" s="17">
        <v>0.33</v>
      </c>
      <c r="D6" s="17">
        <v>21.7</v>
      </c>
      <c r="E6" s="20">
        <v>0.51500000000000001</v>
      </c>
      <c r="F6" s="17">
        <v>1.93</v>
      </c>
      <c r="G6" s="23">
        <v>170</v>
      </c>
      <c r="H6" s="17">
        <v>1.2</v>
      </c>
      <c r="I6" s="32">
        <v>183</v>
      </c>
      <c r="J6" s="33">
        <v>150</v>
      </c>
      <c r="K6" s="34">
        <v>1</v>
      </c>
    </row>
    <row r="7" spans="2:11" ht="24.95" customHeight="1">
      <c r="B7" s="4" t="s">
        <v>17</v>
      </c>
      <c r="C7" s="5"/>
      <c r="D7" s="5"/>
      <c r="E7" s="21"/>
      <c r="F7" s="5"/>
      <c r="G7" s="24"/>
      <c r="H7" s="5"/>
      <c r="I7" s="5"/>
      <c r="J7" s="30"/>
      <c r="K7" s="28"/>
    </row>
    <row r="8" spans="2:11" ht="24.95" customHeight="1">
      <c r="B8" s="4" t="s">
        <v>18</v>
      </c>
      <c r="C8" s="5"/>
      <c r="D8" s="5"/>
      <c r="E8" s="21"/>
      <c r="F8" s="5"/>
      <c r="G8" s="24"/>
      <c r="H8" s="5"/>
      <c r="I8" s="5"/>
      <c r="J8" s="30"/>
      <c r="K8" s="28"/>
    </row>
    <row r="9" spans="2:11" ht="24.95" customHeight="1">
      <c r="B9" s="7" t="s">
        <v>19</v>
      </c>
      <c r="C9" s="8"/>
      <c r="D9" s="8"/>
      <c r="E9" s="22"/>
      <c r="F9" s="8"/>
      <c r="G9" s="25"/>
      <c r="H9" s="8"/>
      <c r="I9" s="8"/>
      <c r="J9" s="31"/>
      <c r="K9" s="29"/>
    </row>
    <row r="10" spans="2:11" ht="20.1" customHeight="1"/>
    <row r="11" spans="2:11" ht="20.1" customHeight="1"/>
    <row r="12" spans="2:11" ht="20.1" customHeight="1"/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4"/>
  <sheetViews>
    <sheetView workbookViewId="0">
      <selection activeCell="F17" sqref="F17"/>
    </sheetView>
  </sheetViews>
  <sheetFormatPr defaultRowHeight="12.75"/>
  <cols>
    <col min="1" max="1" width="3" style="2" customWidth="1"/>
    <col min="2" max="2" width="12.375" style="2" customWidth="1"/>
    <col min="3" max="6" width="12.625" style="2" customWidth="1"/>
    <col min="7" max="8" width="9" style="2"/>
  </cols>
  <sheetData>
    <row r="2" spans="2:9" ht="30" customHeight="1">
      <c r="B2" s="103" t="s">
        <v>182</v>
      </c>
      <c r="C2" s="103"/>
      <c r="D2" s="103"/>
      <c r="E2" s="103"/>
      <c r="F2" s="103"/>
      <c r="G2" s="103"/>
      <c r="H2" s="103"/>
      <c r="I2" s="103"/>
    </row>
    <row r="3" spans="2:9" ht="15" customHeight="1">
      <c r="B3" s="101"/>
      <c r="C3" s="102"/>
      <c r="D3" s="102"/>
      <c r="E3" s="102"/>
      <c r="F3" s="102"/>
      <c r="G3" s="102"/>
      <c r="H3" s="102"/>
      <c r="I3" s="102"/>
    </row>
    <row r="4" spans="2:9" s="54" customFormat="1" ht="24.95" customHeight="1">
      <c r="B4" s="51" t="s">
        <v>39</v>
      </c>
      <c r="C4" s="52" t="s">
        <v>38</v>
      </c>
      <c r="D4" s="52" t="s">
        <v>41</v>
      </c>
      <c r="E4" s="52" t="s">
        <v>42</v>
      </c>
      <c r="F4" s="52" t="s">
        <v>43</v>
      </c>
      <c r="G4" s="52" t="s">
        <v>44</v>
      </c>
      <c r="H4" s="52" t="s">
        <v>48</v>
      </c>
      <c r="I4" s="53" t="s">
        <v>49</v>
      </c>
    </row>
    <row r="5" spans="2:9" ht="24.95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9" ht="24.95" customHeight="1">
      <c r="B6" s="16" t="s">
        <v>45</v>
      </c>
      <c r="C6" s="32" t="s">
        <v>51</v>
      </c>
      <c r="D6" s="32" t="s">
        <v>52</v>
      </c>
      <c r="E6" s="32" t="s">
        <v>53</v>
      </c>
      <c r="F6" s="32" t="s">
        <v>54</v>
      </c>
      <c r="G6" s="32">
        <v>9.5</v>
      </c>
      <c r="H6" s="32" t="s">
        <v>12</v>
      </c>
      <c r="I6" s="61" t="s">
        <v>12</v>
      </c>
    </row>
    <row r="7" spans="2:9" ht="24.95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9" ht="24.95" customHeight="1">
      <c r="B8" s="4" t="s">
        <v>34</v>
      </c>
      <c r="C8" s="5"/>
      <c r="D8" s="5"/>
      <c r="E8" s="5"/>
      <c r="F8" s="5"/>
      <c r="G8" s="5"/>
      <c r="H8" s="5"/>
      <c r="I8" s="6"/>
    </row>
    <row r="9" spans="2:9" ht="24.95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9" ht="24.95" customHeight="1">
      <c r="B10" s="55" t="s">
        <v>47</v>
      </c>
      <c r="C10" s="58">
        <v>41118</v>
      </c>
      <c r="D10" s="58">
        <v>1104</v>
      </c>
      <c r="E10" s="58">
        <v>3571</v>
      </c>
      <c r="F10" s="58">
        <v>80</v>
      </c>
      <c r="G10" s="58">
        <v>9.36</v>
      </c>
      <c r="H10" s="59" t="s">
        <v>12</v>
      </c>
      <c r="I10" s="60" t="s">
        <v>12</v>
      </c>
    </row>
    <row r="11" spans="2:9" ht="24.95" customHeight="1">
      <c r="B11" s="104" t="s">
        <v>50</v>
      </c>
      <c r="C11" s="105"/>
      <c r="D11" s="105"/>
      <c r="E11" s="105"/>
      <c r="F11" s="105"/>
      <c r="G11" s="105"/>
      <c r="H11" s="105"/>
      <c r="I11" s="106"/>
    </row>
    <row r="12" spans="2:9" ht="24.95" customHeight="1"/>
    <row r="13" spans="2:9" ht="24.95" customHeight="1"/>
    <row r="14" spans="2:9" ht="24.95" customHeight="1"/>
  </sheetData>
  <mergeCells count="3">
    <mergeCell ref="B2:I2"/>
    <mergeCell ref="B3:I3"/>
    <mergeCell ref="B11:I11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1"/>
  <sheetViews>
    <sheetView workbookViewId="0">
      <selection activeCell="W1" sqref="W1"/>
    </sheetView>
  </sheetViews>
  <sheetFormatPr defaultRowHeight="12.75"/>
  <cols>
    <col min="1" max="1" width="2.375" style="2" customWidth="1"/>
    <col min="2" max="2" width="11.375" style="2" customWidth="1"/>
    <col min="3" max="7" width="9" style="2"/>
  </cols>
  <sheetData>
    <row r="2" spans="2:8" ht="30" customHeight="1">
      <c r="B2" s="103" t="s">
        <v>183</v>
      </c>
      <c r="C2" s="103"/>
      <c r="D2" s="103"/>
      <c r="E2" s="103"/>
      <c r="F2" s="103"/>
      <c r="G2" s="103"/>
      <c r="H2" s="103"/>
    </row>
    <row r="3" spans="2:8" ht="15" customHeight="1"/>
    <row r="4" spans="2:8" ht="24.95" customHeight="1">
      <c r="B4" s="111" t="s">
        <v>30</v>
      </c>
      <c r="C4" s="112"/>
      <c r="D4" s="36" t="s">
        <v>0</v>
      </c>
      <c r="E4" s="37" t="s">
        <v>33</v>
      </c>
      <c r="F4" s="37" t="s">
        <v>34</v>
      </c>
      <c r="G4" s="37" t="s">
        <v>35</v>
      </c>
      <c r="H4" s="38" t="s">
        <v>36</v>
      </c>
    </row>
    <row r="5" spans="2:8" ht="24.95" customHeight="1">
      <c r="B5" s="107" t="s">
        <v>26</v>
      </c>
      <c r="C5" s="40" t="s">
        <v>24</v>
      </c>
      <c r="D5" s="62">
        <v>33.1</v>
      </c>
      <c r="E5" s="41"/>
      <c r="F5" s="41"/>
      <c r="G5" s="41"/>
      <c r="H5" s="42">
        <f>G5-F5</f>
        <v>0</v>
      </c>
    </row>
    <row r="6" spans="2:8" ht="24.95" customHeight="1">
      <c r="B6" s="108"/>
      <c r="C6" s="40" t="s">
        <v>25</v>
      </c>
      <c r="D6" s="62">
        <v>29.1</v>
      </c>
      <c r="E6" s="41"/>
      <c r="F6" s="41"/>
      <c r="G6" s="41"/>
      <c r="H6" s="42">
        <f t="shared" ref="H6:H8" si="0">G6-F6</f>
        <v>0</v>
      </c>
    </row>
    <row r="7" spans="2:8" ht="24.95" customHeight="1">
      <c r="B7" s="109" t="s">
        <v>27</v>
      </c>
      <c r="C7" s="40" t="s">
        <v>28</v>
      </c>
      <c r="D7" s="62">
        <v>1.6</v>
      </c>
      <c r="E7" s="41"/>
      <c r="F7" s="41"/>
      <c r="G7" s="41"/>
      <c r="H7" s="42">
        <f t="shared" si="0"/>
        <v>0</v>
      </c>
    </row>
    <row r="8" spans="2:8" ht="24.95" customHeight="1">
      <c r="B8" s="110"/>
      <c r="C8" s="40" t="s">
        <v>29</v>
      </c>
      <c r="D8" s="62">
        <v>17.600000000000001</v>
      </c>
      <c r="E8" s="41"/>
      <c r="F8" s="41"/>
      <c r="G8" s="41"/>
      <c r="H8" s="42">
        <f t="shared" si="0"/>
        <v>0</v>
      </c>
    </row>
    <row r="9" spans="2:8" ht="24.95" customHeight="1">
      <c r="B9" s="7" t="s">
        <v>31</v>
      </c>
      <c r="C9" s="45" t="s">
        <v>32</v>
      </c>
      <c r="D9" s="63">
        <v>6.28</v>
      </c>
      <c r="E9" s="46"/>
      <c r="F9" s="46"/>
      <c r="G9" s="46"/>
      <c r="H9" s="47">
        <f>G9-F9</f>
        <v>0</v>
      </c>
    </row>
    <row r="10" spans="2:8" ht="24.95" customHeight="1"/>
    <row r="11" spans="2:8" ht="24.95" customHeight="1"/>
  </sheetData>
  <mergeCells count="4">
    <mergeCell ref="B5:B6"/>
    <mergeCell ref="B7:B8"/>
    <mergeCell ref="B4:C4"/>
    <mergeCell ref="B2:H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workbookViewId="0">
      <selection activeCell="T1" sqref="T1"/>
    </sheetView>
  </sheetViews>
  <sheetFormatPr defaultRowHeight="12.75"/>
  <cols>
    <col min="1" max="1" width="1.75" style="2" customWidth="1"/>
    <col min="2" max="6" width="15.625" style="2" customWidth="1"/>
  </cols>
  <sheetData>
    <row r="2" spans="2:6" ht="30" customHeight="1">
      <c r="B2" s="103" t="s">
        <v>184</v>
      </c>
      <c r="C2" s="103"/>
      <c r="D2" s="103"/>
      <c r="E2" s="103"/>
      <c r="F2" s="103"/>
    </row>
    <row r="3" spans="2:6" ht="15" customHeight="1">
      <c r="B3" s="101"/>
      <c r="C3" s="102"/>
      <c r="D3" s="102"/>
      <c r="E3" s="102"/>
      <c r="F3" s="102"/>
    </row>
    <row r="4" spans="2:6" ht="24.95" customHeight="1">
      <c r="B4" s="111" t="s">
        <v>55</v>
      </c>
      <c r="C4" s="37" t="s">
        <v>21</v>
      </c>
      <c r="D4" s="37" t="s">
        <v>57</v>
      </c>
      <c r="E4" s="37" t="s">
        <v>58</v>
      </c>
      <c r="F4" s="38" t="s">
        <v>59</v>
      </c>
    </row>
    <row r="5" spans="2:6" ht="24.95" customHeight="1">
      <c r="B5" s="113"/>
      <c r="C5" s="5" t="s">
        <v>56</v>
      </c>
      <c r="D5" s="5" t="s">
        <v>56</v>
      </c>
      <c r="E5" s="5" t="s">
        <v>56</v>
      </c>
      <c r="F5" s="6" t="s">
        <v>56</v>
      </c>
    </row>
    <row r="6" spans="2:6" ht="24.95" customHeight="1">
      <c r="B6" s="16" t="s">
        <v>60</v>
      </c>
      <c r="C6" s="17"/>
      <c r="D6" s="17"/>
      <c r="E6" s="17">
        <f>C6+D6</f>
        <v>0</v>
      </c>
      <c r="F6" s="18">
        <f>100-E6</f>
        <v>100</v>
      </c>
    </row>
    <row r="7" spans="2:6" ht="24.95" customHeight="1">
      <c r="B7" s="4" t="s">
        <v>61</v>
      </c>
      <c r="C7" s="5"/>
      <c r="D7" s="5"/>
      <c r="E7" s="5">
        <f>C7+D7</f>
        <v>0</v>
      </c>
      <c r="F7" s="6">
        <f>100-E7</f>
        <v>100</v>
      </c>
    </row>
    <row r="8" spans="2:6" ht="24.95" customHeight="1">
      <c r="B8" s="4" t="s">
        <v>62</v>
      </c>
      <c r="C8" s="5"/>
      <c r="D8" s="5"/>
      <c r="E8" s="5">
        <f t="shared" ref="E8:E10" si="0">C8+D8</f>
        <v>0</v>
      </c>
      <c r="F8" s="6">
        <f t="shared" ref="F8:F10" si="1">100-E8</f>
        <v>100</v>
      </c>
    </row>
    <row r="9" spans="2:6" ht="24.95" customHeight="1">
      <c r="B9" s="55" t="s">
        <v>63</v>
      </c>
      <c r="C9" s="56"/>
      <c r="D9" s="56"/>
      <c r="E9" s="56">
        <f t="shared" si="0"/>
        <v>0</v>
      </c>
      <c r="F9" s="57">
        <f t="shared" si="1"/>
        <v>100</v>
      </c>
    </row>
    <row r="10" spans="2:6" ht="24.95" customHeight="1">
      <c r="B10" s="48" t="s">
        <v>64</v>
      </c>
      <c r="C10" s="49"/>
      <c r="D10" s="49"/>
      <c r="E10" s="49">
        <f t="shared" si="0"/>
        <v>0</v>
      </c>
      <c r="F10" s="50">
        <f t="shared" si="1"/>
        <v>100</v>
      </c>
    </row>
    <row r="11" spans="2:6" ht="24.95" customHeight="1"/>
  </sheetData>
  <mergeCells count="3">
    <mergeCell ref="B4:B5"/>
    <mergeCell ref="B3:F3"/>
    <mergeCell ref="B2:F2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9"/>
  <sheetViews>
    <sheetView workbookViewId="0">
      <selection activeCell="T1" sqref="T1"/>
    </sheetView>
  </sheetViews>
  <sheetFormatPr defaultRowHeight="14.25"/>
  <cols>
    <col min="1" max="1" width="2.625" style="1" customWidth="1"/>
    <col min="2" max="2" width="9" style="1"/>
    <col min="3" max="5" width="12.625" style="1" customWidth="1"/>
    <col min="6" max="6" width="27.375" style="1" customWidth="1"/>
    <col min="7" max="7" width="12.625" style="1" customWidth="1"/>
  </cols>
  <sheetData>
    <row r="2" spans="2:6" ht="30" customHeight="1">
      <c r="B2" s="103" t="s">
        <v>185</v>
      </c>
      <c r="C2" s="103"/>
      <c r="D2" s="103"/>
      <c r="E2" s="103"/>
      <c r="F2" s="103"/>
    </row>
    <row r="3" spans="2:6" ht="15" customHeight="1">
      <c r="B3" s="102"/>
      <c r="C3" s="102"/>
      <c r="D3" s="102"/>
      <c r="E3" s="102"/>
      <c r="F3" s="102"/>
    </row>
    <row r="4" spans="2:6" ht="24.95" customHeight="1">
      <c r="B4" s="114" t="s">
        <v>16</v>
      </c>
      <c r="C4" s="35" t="s">
        <v>65</v>
      </c>
      <c r="D4" s="35" t="s">
        <v>23</v>
      </c>
      <c r="E4" s="35" t="s">
        <v>36</v>
      </c>
      <c r="F4" s="115" t="s">
        <v>66</v>
      </c>
    </row>
    <row r="5" spans="2:6" ht="24.95" customHeight="1">
      <c r="B5" s="110"/>
      <c r="C5" s="65" t="s">
        <v>56</v>
      </c>
      <c r="D5" s="65" t="s">
        <v>56</v>
      </c>
      <c r="E5" s="65" t="s">
        <v>56</v>
      </c>
      <c r="F5" s="116"/>
    </row>
    <row r="6" spans="2:6" ht="24.95" customHeight="1">
      <c r="B6" s="44" t="s">
        <v>67</v>
      </c>
      <c r="C6" s="65"/>
      <c r="D6" s="65"/>
      <c r="E6" s="65">
        <f>C6-D6</f>
        <v>0</v>
      </c>
      <c r="F6" s="66"/>
    </row>
    <row r="7" spans="2:6" ht="24.95" customHeight="1">
      <c r="B7" s="44" t="s">
        <v>68</v>
      </c>
      <c r="C7" s="65"/>
      <c r="D7" s="65"/>
      <c r="E7" s="65">
        <f>C7-D7</f>
        <v>0</v>
      </c>
      <c r="F7" s="66"/>
    </row>
    <row r="8" spans="2:6" ht="24.95" customHeight="1">
      <c r="B8" s="70" t="s">
        <v>69</v>
      </c>
      <c r="C8" s="71"/>
      <c r="D8" s="71"/>
      <c r="E8" s="71">
        <f>C8-D8</f>
        <v>0</v>
      </c>
      <c r="F8" s="72"/>
    </row>
    <row r="9" spans="2:6" ht="24.95" customHeight="1"/>
  </sheetData>
  <mergeCells count="4">
    <mergeCell ref="B4:B5"/>
    <mergeCell ref="F4:F5"/>
    <mergeCell ref="B3:F3"/>
    <mergeCell ref="B2:F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8"/>
  <sheetViews>
    <sheetView workbookViewId="0">
      <selection activeCell="AA1" sqref="AA1"/>
    </sheetView>
  </sheetViews>
  <sheetFormatPr defaultRowHeight="12.75"/>
  <cols>
    <col min="1" max="1" width="2" style="2" customWidth="1"/>
    <col min="2" max="2" width="9" style="2"/>
    <col min="3" max="14" width="6.625" style="2" customWidth="1"/>
    <col min="15" max="16" width="7.625" style="2" customWidth="1"/>
  </cols>
  <sheetData>
    <row r="2" spans="2:16" ht="30" customHeight="1">
      <c r="B2" s="103" t="s">
        <v>186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spans="2:16" ht="15" customHeight="1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2:16" ht="60" customHeight="1">
      <c r="B4" s="73" t="s">
        <v>70</v>
      </c>
      <c r="C4" s="37" t="s">
        <v>71</v>
      </c>
      <c r="D4" s="37" t="s">
        <v>72</v>
      </c>
      <c r="E4" s="37" t="s">
        <v>73</v>
      </c>
      <c r="F4" s="37" t="s">
        <v>74</v>
      </c>
      <c r="G4" s="37" t="s">
        <v>75</v>
      </c>
      <c r="H4" s="37" t="s">
        <v>76</v>
      </c>
      <c r="I4" s="37" t="s">
        <v>77</v>
      </c>
      <c r="J4" s="37" t="s">
        <v>78</v>
      </c>
      <c r="K4" s="37" t="s">
        <v>79</v>
      </c>
      <c r="L4" s="37" t="s">
        <v>80</v>
      </c>
      <c r="M4" s="37" t="s">
        <v>81</v>
      </c>
      <c r="N4" s="37" t="s">
        <v>82</v>
      </c>
      <c r="O4" s="37" t="s">
        <v>34</v>
      </c>
      <c r="P4" s="38" t="s">
        <v>35</v>
      </c>
    </row>
    <row r="5" spans="2:16" ht="60" customHeight="1">
      <c r="B5" s="100" t="s">
        <v>176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ht="60" customHeight="1">
      <c r="B6" s="43" t="s">
        <v>83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</row>
    <row r="7" spans="2:16" ht="60" customHeight="1">
      <c r="B7" s="74" t="s">
        <v>84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</row>
    <row r="8" spans="2:16" ht="24.95" customHeight="1"/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27"/>
  <sheetViews>
    <sheetView workbookViewId="0">
      <selection activeCell="X1" sqref="X1"/>
    </sheetView>
  </sheetViews>
  <sheetFormatPr defaultRowHeight="12.75"/>
  <cols>
    <col min="1" max="1" width="1.875" style="2" customWidth="1"/>
    <col min="2" max="2" width="10.625" style="2" customWidth="1"/>
    <col min="3" max="12" width="9" style="2"/>
  </cols>
  <sheetData>
    <row r="2" spans="2:13" ht="30" customHeight="1">
      <c r="B2" s="103" t="s">
        <v>187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2:13" ht="30" customHeight="1">
      <c r="B3" s="111" t="s">
        <v>142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5"/>
    </row>
    <row r="4" spans="2:13" ht="9.95" customHeight="1">
      <c r="B4" s="11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9"/>
    </row>
    <row r="5" spans="2:13" ht="20.1" customHeight="1">
      <c r="B5" s="113" t="s">
        <v>122</v>
      </c>
      <c r="C5" s="120"/>
      <c r="D5" s="5"/>
      <c r="E5" s="5"/>
      <c r="F5" s="5"/>
      <c r="G5" s="5"/>
      <c r="H5" s="5"/>
      <c r="I5" s="5"/>
      <c r="J5" s="5"/>
      <c r="K5" s="121" t="s">
        <v>131</v>
      </c>
      <c r="L5" s="121" t="s">
        <v>132</v>
      </c>
      <c r="M5" s="122" t="s">
        <v>133</v>
      </c>
    </row>
    <row r="6" spans="2:13" ht="20.1" customHeight="1">
      <c r="B6" s="113" t="s">
        <v>123</v>
      </c>
      <c r="C6" s="120"/>
      <c r="D6" s="5" t="s">
        <v>124</v>
      </c>
      <c r="E6" s="5" t="s">
        <v>125</v>
      </c>
      <c r="F6" s="5" t="s">
        <v>126</v>
      </c>
      <c r="G6" s="5" t="s">
        <v>127</v>
      </c>
      <c r="H6" s="5" t="s">
        <v>128</v>
      </c>
      <c r="I6" s="5" t="s">
        <v>129</v>
      </c>
      <c r="J6" s="5" t="s">
        <v>130</v>
      </c>
      <c r="K6" s="120"/>
      <c r="L6" s="120"/>
      <c r="M6" s="116"/>
    </row>
    <row r="7" spans="2:13" ht="20.1" customHeight="1">
      <c r="B7" s="123" t="s">
        <v>134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5"/>
    </row>
    <row r="8" spans="2:13" ht="20.1" customHeight="1">
      <c r="B8" s="4" t="s">
        <v>21</v>
      </c>
      <c r="C8" s="5" t="s">
        <v>56</v>
      </c>
      <c r="D8" s="5"/>
      <c r="E8" s="5"/>
      <c r="F8" s="5"/>
      <c r="G8" s="5"/>
      <c r="H8" s="5"/>
      <c r="I8" s="5"/>
      <c r="J8" s="5"/>
      <c r="K8" s="5"/>
      <c r="L8" s="5"/>
      <c r="M8" s="6">
        <f>K8-L8</f>
        <v>0</v>
      </c>
    </row>
    <row r="9" spans="2:13" ht="20.1" customHeight="1">
      <c r="B9" s="4" t="s">
        <v>98</v>
      </c>
      <c r="C9" s="5" t="s">
        <v>90</v>
      </c>
      <c r="D9" s="5"/>
      <c r="E9" s="5"/>
      <c r="F9" s="5"/>
      <c r="G9" s="5"/>
      <c r="H9" s="5"/>
      <c r="I9" s="5"/>
      <c r="J9" s="5"/>
      <c r="K9" s="5"/>
      <c r="L9" s="5"/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5"/>
      <c r="E10" s="5"/>
      <c r="F10" s="5"/>
      <c r="G10" s="5"/>
      <c r="H10" s="5"/>
      <c r="I10" s="5"/>
      <c r="J10" s="5"/>
      <c r="K10" s="5"/>
      <c r="L10" s="5"/>
      <c r="M10" s="6">
        <f t="shared" si="0"/>
        <v>0</v>
      </c>
    </row>
    <row r="11" spans="2:13" ht="20.1" customHeight="1">
      <c r="B11" s="123" t="s">
        <v>135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</row>
    <row r="12" spans="2:13" ht="20.1" customHeight="1">
      <c r="B12" s="4" t="s">
        <v>21</v>
      </c>
      <c r="C12" s="5" t="s">
        <v>56</v>
      </c>
      <c r="D12" s="5"/>
      <c r="E12" s="5"/>
      <c r="F12" s="5"/>
      <c r="G12" s="5"/>
      <c r="H12" s="5"/>
      <c r="I12" s="5"/>
      <c r="J12" s="5"/>
      <c r="K12" s="5"/>
      <c r="L12" s="5"/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5"/>
      <c r="E13" s="5"/>
      <c r="F13" s="5"/>
      <c r="G13" s="5"/>
      <c r="H13" s="5"/>
      <c r="I13" s="5"/>
      <c r="J13" s="5"/>
      <c r="K13" s="5"/>
      <c r="L13" s="5"/>
      <c r="M13" s="6">
        <f t="shared" ref="M13:M15" si="1">K13-L13</f>
        <v>0</v>
      </c>
    </row>
    <row r="14" spans="2:13" ht="20.1" customHeight="1">
      <c r="B14" s="4" t="s">
        <v>58</v>
      </c>
      <c r="C14" s="5" t="s">
        <v>56</v>
      </c>
      <c r="D14" s="5"/>
      <c r="E14" s="5"/>
      <c r="F14" s="5"/>
      <c r="G14" s="5"/>
      <c r="H14" s="5"/>
      <c r="I14" s="5"/>
      <c r="J14" s="5"/>
      <c r="K14" s="5"/>
      <c r="L14" s="5"/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100</v>
      </c>
      <c r="E15" s="5">
        <f t="shared" ref="E15:L15" si="2">100-E14</f>
        <v>100</v>
      </c>
      <c r="F15" s="5">
        <f t="shared" si="2"/>
        <v>100</v>
      </c>
      <c r="G15" s="5">
        <f t="shared" si="2"/>
        <v>100</v>
      </c>
      <c r="H15" s="5">
        <f t="shared" si="2"/>
        <v>100</v>
      </c>
      <c r="I15" s="5">
        <f t="shared" si="2"/>
        <v>100</v>
      </c>
      <c r="J15" s="5">
        <f t="shared" si="2"/>
        <v>100</v>
      </c>
      <c r="K15" s="5">
        <f t="shared" si="2"/>
        <v>100</v>
      </c>
      <c r="L15" s="5">
        <f t="shared" si="2"/>
        <v>100</v>
      </c>
      <c r="M15" s="6">
        <f t="shared" si="1"/>
        <v>0</v>
      </c>
    </row>
    <row r="16" spans="2:13" ht="20.1" customHeight="1">
      <c r="B16" s="123" t="s">
        <v>136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5"/>
    </row>
    <row r="17" spans="2:13" ht="20.1" customHeight="1">
      <c r="B17" s="4" t="s">
        <v>137</v>
      </c>
      <c r="C17" s="5" t="s">
        <v>56</v>
      </c>
      <c r="D17" s="5"/>
      <c r="E17" s="5"/>
      <c r="F17" s="5"/>
      <c r="G17" s="5"/>
      <c r="H17" s="5"/>
      <c r="I17" s="5"/>
      <c r="J17" s="5"/>
      <c r="K17" s="5"/>
      <c r="L17" s="5"/>
      <c r="M17" s="6">
        <f>K17-L17</f>
        <v>0</v>
      </c>
    </row>
    <row r="18" spans="2:13" ht="20.1" customHeight="1">
      <c r="B18" s="123" t="s">
        <v>138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</row>
    <row r="19" spans="2:13" ht="20.1" customHeight="1">
      <c r="B19" s="4" t="s">
        <v>139</v>
      </c>
      <c r="C19" s="5" t="s">
        <v>56</v>
      </c>
      <c r="D19" s="5"/>
      <c r="E19" s="5"/>
      <c r="F19" s="5"/>
      <c r="G19" s="5"/>
      <c r="H19" s="5"/>
      <c r="I19" s="5"/>
      <c r="J19" s="5"/>
      <c r="K19" s="5"/>
      <c r="L19" s="5"/>
      <c r="M19" s="6"/>
    </row>
    <row r="20" spans="2:13" ht="20.1" customHeight="1">
      <c r="B20" s="4" t="s">
        <v>140</v>
      </c>
      <c r="C20" s="5" t="s">
        <v>118</v>
      </c>
      <c r="D20" s="5"/>
      <c r="E20" s="5"/>
      <c r="F20" s="5"/>
      <c r="G20" s="5"/>
      <c r="H20" s="5"/>
      <c r="I20" s="5"/>
      <c r="J20" s="5"/>
      <c r="K20" s="5"/>
      <c r="L20" s="5"/>
      <c r="M20" s="6">
        <f>K20-L20</f>
        <v>0</v>
      </c>
    </row>
    <row r="21" spans="2:13" ht="20.1" customHeight="1">
      <c r="B21" s="123" t="s">
        <v>141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5"/>
    </row>
    <row r="22" spans="2:13" ht="20.1" customHeight="1">
      <c r="B22" s="7" t="s">
        <v>21</v>
      </c>
      <c r="C22" s="8" t="s">
        <v>56</v>
      </c>
      <c r="D22" s="8"/>
      <c r="E22" s="8"/>
      <c r="F22" s="8"/>
      <c r="G22" s="8"/>
      <c r="H22" s="8"/>
      <c r="I22" s="8"/>
      <c r="J22" s="8"/>
      <c r="K22" s="8"/>
      <c r="L22" s="8"/>
      <c r="M22" s="9">
        <f>K22-L22</f>
        <v>0</v>
      </c>
    </row>
    <row r="23" spans="2:13" ht="20.1" customHeight="1"/>
    <row r="24" spans="2:13" ht="20.1" customHeight="1"/>
    <row r="25" spans="2:13" ht="20.1" customHeight="1"/>
    <row r="26" spans="2:13" ht="20.1" customHeight="1"/>
    <row r="27" spans="2:13" ht="20.1" customHeight="1"/>
  </sheetData>
  <mergeCells count="13">
    <mergeCell ref="B7:M7"/>
    <mergeCell ref="B11:M11"/>
    <mergeCell ref="B16:M16"/>
    <mergeCell ref="B18:M18"/>
    <mergeCell ref="B21:M21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4"/>
  <sheetViews>
    <sheetView workbookViewId="0">
      <selection activeCell="V1" sqref="V1"/>
    </sheetView>
  </sheetViews>
  <sheetFormatPr defaultRowHeight="12.75"/>
  <cols>
    <col min="1" max="1" width="1.375" style="2" customWidth="1"/>
    <col min="2" max="2" width="9" style="2"/>
    <col min="3" max="7" width="12.625" style="2" customWidth="1"/>
  </cols>
  <sheetData>
    <row r="2" spans="2:7" ht="30" customHeight="1">
      <c r="B2" s="103" t="s">
        <v>188</v>
      </c>
      <c r="C2" s="103"/>
      <c r="D2" s="103"/>
      <c r="E2" s="103"/>
      <c r="F2" s="103"/>
      <c r="G2" s="103"/>
    </row>
    <row r="3" spans="2:7" ht="15" customHeight="1">
      <c r="B3" s="101"/>
      <c r="C3" s="102"/>
      <c r="D3" s="102"/>
      <c r="E3" s="102"/>
      <c r="F3" s="102"/>
      <c r="G3" s="102"/>
    </row>
    <row r="4" spans="2:7" ht="15.75" customHeight="1">
      <c r="B4" s="126" t="s">
        <v>95</v>
      </c>
      <c r="C4" s="127"/>
      <c r="D4" s="127"/>
      <c r="E4" s="127"/>
      <c r="F4" s="127"/>
      <c r="G4" s="128"/>
    </row>
    <row r="5" spans="2:7" ht="24.95" customHeight="1">
      <c r="B5" s="4" t="s">
        <v>39</v>
      </c>
      <c r="C5" s="5" t="s">
        <v>86</v>
      </c>
      <c r="D5" s="5" t="s">
        <v>87</v>
      </c>
      <c r="E5" s="5" t="s">
        <v>88</v>
      </c>
      <c r="F5" s="5" t="s">
        <v>89</v>
      </c>
      <c r="G5" s="6" t="s">
        <v>91</v>
      </c>
    </row>
    <row r="6" spans="2:7" ht="24.9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90</v>
      </c>
      <c r="G6" s="6" t="s">
        <v>92</v>
      </c>
    </row>
    <row r="7" spans="2:7" ht="24.95" customHeight="1">
      <c r="B7" s="96" t="s">
        <v>85</v>
      </c>
      <c r="C7" s="97">
        <v>0.16600000000000001</v>
      </c>
      <c r="D7" s="97">
        <v>0.04</v>
      </c>
      <c r="E7" s="98">
        <f>C7/D7</f>
        <v>4.1500000000000004</v>
      </c>
      <c r="F7" s="97">
        <v>1.17</v>
      </c>
      <c r="G7" s="99" t="s">
        <v>93</v>
      </c>
    </row>
    <row r="8" spans="2:7" ht="24.95" customHeight="1">
      <c r="B8" s="94" t="s">
        <v>94</v>
      </c>
      <c r="C8" s="88"/>
      <c r="D8" s="88"/>
      <c r="E8" s="95" t="e">
        <f>C8/D8</f>
        <v>#DIV/0!</v>
      </c>
      <c r="F8" s="88"/>
      <c r="G8" s="91"/>
    </row>
    <row r="9" spans="2:7" ht="15.75" customHeight="1">
      <c r="B9" s="129" t="s">
        <v>96</v>
      </c>
      <c r="C9" s="130"/>
      <c r="D9" s="130"/>
      <c r="E9" s="130"/>
      <c r="F9" s="130"/>
      <c r="G9" s="131"/>
    </row>
    <row r="10" spans="2:7" ht="24.95" customHeight="1">
      <c r="B10" s="4" t="s">
        <v>39</v>
      </c>
      <c r="C10" s="132" t="s">
        <v>21</v>
      </c>
      <c r="D10" s="120"/>
      <c r="E10" s="5" t="s">
        <v>97</v>
      </c>
      <c r="F10" s="132" t="s">
        <v>98</v>
      </c>
      <c r="G10" s="116"/>
    </row>
    <row r="11" spans="2:7" ht="24.95" customHeight="1">
      <c r="B11" s="4" t="s">
        <v>40</v>
      </c>
      <c r="C11" s="132" t="s">
        <v>56</v>
      </c>
      <c r="D11" s="120"/>
      <c r="E11" s="5" t="s">
        <v>90</v>
      </c>
      <c r="F11" s="132" t="s">
        <v>90</v>
      </c>
      <c r="G11" s="116"/>
    </row>
    <row r="12" spans="2:7" ht="24.95" customHeight="1">
      <c r="B12" s="4" t="s">
        <v>34</v>
      </c>
      <c r="C12" s="133"/>
      <c r="D12" s="134"/>
      <c r="E12" s="5"/>
      <c r="F12" s="133"/>
      <c r="G12" s="137"/>
    </row>
    <row r="13" spans="2:7" ht="24.95" customHeight="1">
      <c r="B13" s="7" t="s">
        <v>35</v>
      </c>
      <c r="C13" s="135"/>
      <c r="D13" s="136"/>
      <c r="E13" s="8"/>
      <c r="F13" s="135"/>
      <c r="G13" s="138"/>
    </row>
    <row r="14" spans="2:7" ht="24.95" customHeight="1"/>
  </sheetData>
  <mergeCells count="12">
    <mergeCell ref="C12:D12"/>
    <mergeCell ref="C13:D13"/>
    <mergeCell ref="F12:G12"/>
    <mergeCell ref="F13:G13"/>
    <mergeCell ref="B3:G3"/>
    <mergeCell ref="B2:G2"/>
    <mergeCell ref="B4:G4"/>
    <mergeCell ref="B9:G9"/>
    <mergeCell ref="F10:G10"/>
    <mergeCell ref="F11:G11"/>
    <mergeCell ref="C10:D10"/>
    <mergeCell ref="C11:D11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3"/>
  <sheetViews>
    <sheetView workbookViewId="0">
      <selection activeCell="L2" sqref="L2"/>
    </sheetView>
  </sheetViews>
  <sheetFormatPr defaultRowHeight="14.25"/>
  <cols>
    <col min="1" max="1" width="2.25" style="1" customWidth="1"/>
    <col min="2" max="2" width="12.625" style="1" customWidth="1"/>
    <col min="3" max="5" width="20.625" style="1" customWidth="1"/>
    <col min="6" max="6" width="12.625" style="1" customWidth="1"/>
  </cols>
  <sheetData>
    <row r="2" spans="2:5" ht="30" customHeight="1">
      <c r="B2" s="103" t="s">
        <v>177</v>
      </c>
      <c r="C2" s="103"/>
      <c r="D2" s="103"/>
      <c r="E2" s="103"/>
    </row>
    <row r="3" spans="2:5" ht="15" customHeight="1">
      <c r="B3" s="139"/>
      <c r="C3" s="139"/>
      <c r="D3" s="139"/>
      <c r="E3" s="139"/>
    </row>
    <row r="4" spans="2:5" ht="24.95" customHeight="1">
      <c r="B4" s="140" t="s">
        <v>114</v>
      </c>
      <c r="C4" s="35" t="s">
        <v>113</v>
      </c>
      <c r="D4" s="35" t="s">
        <v>115</v>
      </c>
      <c r="E4" s="141" t="s">
        <v>116</v>
      </c>
    </row>
    <row r="5" spans="2:5" ht="24.95" customHeight="1">
      <c r="B5" s="110"/>
      <c r="C5" s="65" t="s">
        <v>112</v>
      </c>
      <c r="D5" s="65" t="s">
        <v>12</v>
      </c>
      <c r="E5" s="142"/>
    </row>
    <row r="6" spans="2:5" ht="24.95" customHeight="1">
      <c r="B6" s="44" t="s">
        <v>110</v>
      </c>
      <c r="C6" s="65"/>
      <c r="D6" s="65"/>
      <c r="E6" s="66">
        <v>301</v>
      </c>
    </row>
    <row r="7" spans="2:5" ht="24.95" customHeight="1">
      <c r="B7" s="67" t="s">
        <v>111</v>
      </c>
      <c r="C7" s="68"/>
      <c r="D7" s="68"/>
      <c r="E7" s="69">
        <v>301</v>
      </c>
    </row>
    <row r="8" spans="2:5" ht="15" customHeight="1">
      <c r="B8" s="143"/>
      <c r="C8" s="144"/>
      <c r="D8" s="144"/>
      <c r="E8" s="145"/>
    </row>
    <row r="9" spans="2:5" ht="24.95" customHeight="1">
      <c r="B9" s="140" t="s">
        <v>106</v>
      </c>
      <c r="C9" s="35" t="s">
        <v>21</v>
      </c>
      <c r="D9" s="35" t="s">
        <v>98</v>
      </c>
      <c r="E9" s="64" t="s">
        <v>97</v>
      </c>
    </row>
    <row r="10" spans="2:5" ht="24.95" customHeight="1">
      <c r="B10" s="110"/>
      <c r="C10" s="65" t="s">
        <v>56</v>
      </c>
      <c r="D10" s="65" t="s">
        <v>90</v>
      </c>
      <c r="E10" s="66" t="s">
        <v>90</v>
      </c>
    </row>
    <row r="11" spans="2:5" ht="24.95" customHeight="1">
      <c r="B11" s="44" t="s">
        <v>107</v>
      </c>
      <c r="C11" s="65"/>
      <c r="D11" s="65"/>
      <c r="E11" s="66"/>
    </row>
    <row r="12" spans="2:5" ht="24.95" customHeight="1">
      <c r="B12" s="44" t="s">
        <v>108</v>
      </c>
      <c r="C12" s="65">
        <f>C11</f>
        <v>0</v>
      </c>
      <c r="D12" s="65">
        <f>D11</f>
        <v>0</v>
      </c>
      <c r="E12" s="66">
        <f>E11</f>
        <v>0</v>
      </c>
    </row>
    <row r="13" spans="2:5" ht="24.95" customHeight="1">
      <c r="B13" s="67" t="s">
        <v>109</v>
      </c>
      <c r="C13" s="68">
        <f>C11-C12</f>
        <v>0</v>
      </c>
      <c r="D13" s="68">
        <f t="shared" ref="D13:E13" si="0">D11-D12</f>
        <v>0</v>
      </c>
      <c r="E13" s="69">
        <f t="shared" si="0"/>
        <v>0</v>
      </c>
    </row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5"/>
  <sheetViews>
    <sheetView workbookViewId="0">
      <selection activeCell="J9" sqref="J9"/>
    </sheetView>
  </sheetViews>
  <sheetFormatPr defaultRowHeight="14.25"/>
  <cols>
    <col min="1" max="1" width="2.625" customWidth="1"/>
    <col min="2" max="2" width="20.25" customWidth="1"/>
    <col min="3" max="5" width="15.625" customWidth="1"/>
  </cols>
  <sheetData>
    <row r="2" spans="2:5" ht="30" customHeight="1">
      <c r="B2" s="103" t="s">
        <v>178</v>
      </c>
      <c r="C2" s="103"/>
      <c r="D2" s="103"/>
      <c r="E2" s="103"/>
    </row>
    <row r="3" spans="2:5" ht="15" customHeight="1">
      <c r="B3" s="149"/>
      <c r="C3" s="149"/>
      <c r="D3" s="149"/>
      <c r="E3" s="149"/>
    </row>
    <row r="4" spans="2:5" s="1" customFormat="1" ht="24.95" customHeight="1">
      <c r="B4" s="3" t="s">
        <v>102</v>
      </c>
      <c r="C4" s="112"/>
      <c r="D4" s="112"/>
      <c r="E4" s="38" t="s">
        <v>56</v>
      </c>
    </row>
    <row r="5" spans="2:5" s="1" customFormat="1" ht="24.95" customHeight="1">
      <c r="B5" s="39" t="s">
        <v>103</v>
      </c>
      <c r="C5" s="120"/>
      <c r="D5" s="120"/>
      <c r="E5" s="82" t="s">
        <v>104</v>
      </c>
    </row>
    <row r="6" spans="2:5" s="1" customFormat="1" ht="11.25" customHeight="1">
      <c r="B6" s="146"/>
      <c r="C6" s="147"/>
      <c r="D6" s="147"/>
      <c r="E6" s="148"/>
    </row>
    <row r="7" spans="2:5" ht="30" customHeight="1">
      <c r="B7" s="83" t="s">
        <v>105</v>
      </c>
      <c r="C7" s="37" t="s">
        <v>33</v>
      </c>
      <c r="D7" s="52" t="s">
        <v>34</v>
      </c>
      <c r="E7" s="53" t="s">
        <v>35</v>
      </c>
    </row>
    <row r="8" spans="2:5" s="54" customFormat="1" ht="30" customHeight="1">
      <c r="B8" s="39" t="s">
        <v>22</v>
      </c>
      <c r="C8" s="77"/>
      <c r="D8" s="77"/>
      <c r="E8" s="78"/>
    </row>
    <row r="9" spans="2:5" s="54" customFormat="1" ht="30" customHeight="1">
      <c r="B9" s="39" t="s">
        <v>99</v>
      </c>
      <c r="C9" s="77"/>
      <c r="D9" s="77"/>
      <c r="E9" s="78"/>
    </row>
    <row r="10" spans="2:5" s="54" customFormat="1" ht="30" customHeight="1">
      <c r="B10" s="39" t="s">
        <v>100</v>
      </c>
      <c r="C10" s="77"/>
      <c r="D10" s="77"/>
      <c r="E10" s="78"/>
    </row>
    <row r="11" spans="2:5" s="54" customFormat="1" ht="30" customHeight="1">
      <c r="B11" s="79" t="s">
        <v>101</v>
      </c>
      <c r="C11" s="80"/>
      <c r="D11" s="80"/>
      <c r="E11" s="81"/>
    </row>
    <row r="12" spans="2:5" s="54" customFormat="1" ht="30" customHeight="1"/>
    <row r="13" spans="2:5" s="54" customFormat="1" ht="30" customHeight="1"/>
    <row r="14" spans="2:5" s="54" customFormat="1" ht="30" customHeight="1"/>
    <row r="15" spans="2:5" ht="24.95" customHeight="1"/>
  </sheetData>
  <mergeCells count="5">
    <mergeCell ref="C5:D5"/>
    <mergeCell ref="C4:D4"/>
    <mergeCell ref="B6:E6"/>
    <mergeCell ref="B2:E2"/>
    <mergeCell ref="B3:E3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6"/>
  <sheetViews>
    <sheetView workbookViewId="0">
      <selection activeCell="M9" sqref="M9"/>
    </sheetView>
  </sheetViews>
  <sheetFormatPr defaultRowHeight="14.25"/>
  <cols>
    <col min="1" max="1" width="2.375" customWidth="1"/>
    <col min="2" max="2" width="12.625" customWidth="1"/>
    <col min="3" max="10" width="10.625" customWidth="1"/>
  </cols>
  <sheetData>
    <row r="2" spans="2:10" ht="30" customHeight="1">
      <c r="B2" s="103" t="s">
        <v>179</v>
      </c>
      <c r="C2" s="103"/>
      <c r="D2" s="103"/>
      <c r="E2" s="103"/>
      <c r="F2" s="103"/>
      <c r="G2" s="103"/>
      <c r="H2" s="103"/>
      <c r="I2" s="103"/>
      <c r="J2" s="103"/>
    </row>
    <row r="3" spans="2:10" ht="24.95" customHeight="1">
      <c r="B3" s="152" t="s">
        <v>121</v>
      </c>
      <c r="C3" s="152"/>
      <c r="D3" s="152"/>
      <c r="E3" s="152"/>
      <c r="F3" s="152"/>
      <c r="G3" s="152"/>
      <c r="H3" s="152"/>
      <c r="I3" s="152"/>
      <c r="J3" s="152"/>
    </row>
    <row r="4" spans="2:10" ht="15" customHeight="1"/>
    <row r="5" spans="2:10" ht="30" customHeight="1">
      <c r="B5" s="150" t="s">
        <v>117</v>
      </c>
      <c r="C5" s="92" t="s">
        <v>154</v>
      </c>
      <c r="D5" s="92" t="s">
        <v>155</v>
      </c>
      <c r="E5" s="92" t="s">
        <v>156</v>
      </c>
      <c r="F5" s="92" t="s">
        <v>157</v>
      </c>
      <c r="G5" s="92" t="s">
        <v>158</v>
      </c>
      <c r="H5" s="92" t="s">
        <v>159</v>
      </c>
      <c r="I5" s="92" t="s">
        <v>161</v>
      </c>
      <c r="J5" s="93" t="s">
        <v>160</v>
      </c>
    </row>
    <row r="6" spans="2:10" ht="24.95" customHeight="1">
      <c r="B6" s="151"/>
      <c r="C6" s="5" t="s">
        <v>119</v>
      </c>
      <c r="D6" s="5" t="s">
        <v>119</v>
      </c>
      <c r="E6" s="5" t="s">
        <v>120</v>
      </c>
      <c r="F6" s="5" t="s">
        <v>120</v>
      </c>
      <c r="G6" s="5" t="s">
        <v>120</v>
      </c>
      <c r="H6" s="5" t="s">
        <v>120</v>
      </c>
      <c r="I6" s="5" t="s">
        <v>120</v>
      </c>
      <c r="J6" s="6" t="s">
        <v>120</v>
      </c>
    </row>
    <row r="7" spans="2:10" s="1" customFormat="1" ht="24.95" customHeight="1">
      <c r="B7" s="16" t="s">
        <v>47</v>
      </c>
      <c r="C7" s="19">
        <v>1.4630000000000001</v>
      </c>
      <c r="D7" s="19">
        <v>0.25</v>
      </c>
      <c r="E7" s="19">
        <v>0.1</v>
      </c>
      <c r="F7" s="19" t="s">
        <v>12</v>
      </c>
      <c r="G7" s="19" t="s">
        <v>12</v>
      </c>
      <c r="H7" s="19" t="s">
        <v>12</v>
      </c>
      <c r="I7" s="84">
        <v>3</v>
      </c>
      <c r="J7" s="85">
        <v>0.57499999999999996</v>
      </c>
    </row>
    <row r="8" spans="2:10" s="1" customFormat="1" ht="24.95" customHeight="1">
      <c r="B8" s="4" t="s">
        <v>33</v>
      </c>
      <c r="C8" s="5"/>
      <c r="D8" s="5"/>
      <c r="E8" s="5"/>
      <c r="F8" s="5"/>
      <c r="G8" s="5"/>
      <c r="H8" s="5"/>
      <c r="I8" s="65"/>
      <c r="J8" s="66"/>
    </row>
    <row r="9" spans="2:10" s="1" customFormat="1" ht="24.95" customHeight="1">
      <c r="B9" s="16" t="s">
        <v>110</v>
      </c>
      <c r="C9" s="17"/>
      <c r="D9" s="17"/>
      <c r="E9" s="17"/>
      <c r="F9" s="17"/>
      <c r="G9" s="17"/>
      <c r="H9" s="17"/>
      <c r="I9" s="86"/>
      <c r="J9" s="87"/>
    </row>
    <row r="10" spans="2:10" s="1" customFormat="1" ht="24.95" customHeight="1">
      <c r="B10" s="7" t="s">
        <v>111</v>
      </c>
      <c r="C10" s="8"/>
      <c r="D10" s="8"/>
      <c r="E10" s="8"/>
      <c r="F10" s="8"/>
      <c r="G10" s="8"/>
      <c r="H10" s="8"/>
      <c r="I10" s="68"/>
      <c r="J10" s="69"/>
    </row>
    <row r="11" spans="2:10" s="1" customFormat="1" ht="24.95" customHeight="1">
      <c r="B11" s="2"/>
      <c r="C11" s="2"/>
      <c r="D11" s="2"/>
      <c r="E11" s="2"/>
      <c r="F11" s="2"/>
      <c r="G11" s="2"/>
      <c r="H11" s="2"/>
    </row>
    <row r="12" spans="2:10" s="1" customFormat="1" ht="24.95" customHeight="1">
      <c r="B12" s="2"/>
      <c r="C12" s="2"/>
      <c r="D12" s="2"/>
      <c r="E12" s="2"/>
      <c r="F12" s="2"/>
      <c r="G12" s="2"/>
      <c r="H12" s="2"/>
    </row>
    <row r="13" spans="2:10" s="1" customFormat="1" ht="24.95" customHeight="1">
      <c r="B13" s="2"/>
      <c r="C13" s="2"/>
      <c r="D13" s="2"/>
      <c r="E13" s="2"/>
      <c r="F13" s="2"/>
      <c r="G13" s="2"/>
      <c r="H13" s="2"/>
    </row>
    <row r="14" spans="2:10" s="1" customFormat="1" ht="24.95" customHeight="1">
      <c r="B14" s="2"/>
      <c r="C14" s="2"/>
      <c r="D14" s="2"/>
      <c r="E14" s="2"/>
      <c r="F14" s="2"/>
      <c r="G14" s="2"/>
      <c r="H14" s="2"/>
    </row>
    <row r="15" spans="2:10" s="1" customFormat="1" ht="24.95" customHeight="1">
      <c r="B15" s="2"/>
      <c r="C15" s="2"/>
      <c r="D15" s="2"/>
      <c r="E15" s="2"/>
      <c r="F15" s="2"/>
      <c r="G15" s="2"/>
      <c r="H15" s="2"/>
    </row>
    <row r="16" spans="2:10" ht="24.95" customHeight="1"/>
  </sheetData>
  <mergeCells count="3">
    <mergeCell ref="B5:B6"/>
    <mergeCell ref="B3:J3"/>
    <mergeCell ref="B2:J2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U30"/>
  <sheetViews>
    <sheetView workbookViewId="0">
      <selection activeCell="AA1" sqref="AA1"/>
    </sheetView>
  </sheetViews>
  <sheetFormatPr defaultRowHeight="12.75"/>
  <cols>
    <col min="1" max="1" width="2.25" style="2" customWidth="1"/>
    <col min="2" max="2" width="10" style="2" bestFit="1" customWidth="1"/>
    <col min="3" max="9" width="5.625" style="2" customWidth="1"/>
    <col min="10" max="11" width="8.625" style="2" customWidth="1"/>
    <col min="12" max="12" width="11" style="2" customWidth="1"/>
    <col min="13" max="13" width="10.625" style="2" customWidth="1"/>
    <col min="14" max="15" width="6.625" style="2" customWidth="1"/>
    <col min="16" max="19" width="5.625" style="2" customWidth="1"/>
    <col min="20" max="20" width="21.75" style="2" customWidth="1"/>
  </cols>
  <sheetData>
    <row r="2" spans="2:20" ht="30" customHeight="1">
      <c r="B2" s="103" t="s">
        <v>180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2:20" ht="30" customHeight="1">
      <c r="B3" s="177" t="s">
        <v>153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</row>
    <row r="4" spans="2:20" ht="9.95" customHeight="1">
      <c r="B4" s="175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2:20" ht="15.6" customHeight="1">
      <c r="B5" s="3" t="s">
        <v>122</v>
      </c>
      <c r="C5" s="169" t="s">
        <v>143</v>
      </c>
      <c r="D5" s="153" t="s">
        <v>166</v>
      </c>
      <c r="E5" s="154"/>
      <c r="F5" s="153" t="s">
        <v>167</v>
      </c>
      <c r="G5" s="154"/>
      <c r="H5" s="153" t="s">
        <v>168</v>
      </c>
      <c r="I5" s="154"/>
      <c r="J5" s="153" t="s">
        <v>169</v>
      </c>
      <c r="K5" s="154"/>
      <c r="L5" s="180" t="s">
        <v>170</v>
      </c>
      <c r="M5" s="186" t="s">
        <v>171</v>
      </c>
      <c r="N5" s="188" t="s">
        <v>173</v>
      </c>
      <c r="O5" s="154"/>
      <c r="P5" s="188" t="s">
        <v>174</v>
      </c>
      <c r="Q5" s="189"/>
      <c r="R5" s="188" t="s">
        <v>175</v>
      </c>
      <c r="S5" s="154"/>
      <c r="T5" s="173" t="s">
        <v>66</v>
      </c>
    </row>
    <row r="6" spans="2:20" ht="15.6" customHeight="1">
      <c r="B6" s="161">
        <v>45992</v>
      </c>
      <c r="C6" s="132"/>
      <c r="D6" s="155"/>
      <c r="E6" s="156"/>
      <c r="F6" s="155"/>
      <c r="G6" s="156"/>
      <c r="H6" s="155"/>
      <c r="I6" s="156"/>
      <c r="J6" s="155"/>
      <c r="K6" s="156"/>
      <c r="L6" s="181"/>
      <c r="M6" s="187"/>
      <c r="N6" s="155"/>
      <c r="O6" s="156"/>
      <c r="P6" s="155"/>
      <c r="Q6" s="156"/>
      <c r="R6" s="155"/>
      <c r="S6" s="156"/>
      <c r="T6" s="116"/>
    </row>
    <row r="7" spans="2:20" ht="15.6" customHeight="1">
      <c r="B7" s="158"/>
      <c r="C7" s="166"/>
      <c r="D7" s="135" t="s">
        <v>162</v>
      </c>
      <c r="E7" s="136"/>
      <c r="F7" s="135" t="s">
        <v>163</v>
      </c>
      <c r="G7" s="136"/>
      <c r="H7" s="135" t="s">
        <v>164</v>
      </c>
      <c r="I7" s="136"/>
      <c r="J7" s="135" t="s">
        <v>165</v>
      </c>
      <c r="K7" s="136"/>
      <c r="L7" s="182"/>
      <c r="M7" s="88" t="s">
        <v>172</v>
      </c>
      <c r="N7" s="135" t="s">
        <v>172</v>
      </c>
      <c r="O7" s="136"/>
      <c r="P7" s="190" t="s">
        <v>56</v>
      </c>
      <c r="Q7" s="136"/>
      <c r="R7" s="135" t="s">
        <v>56</v>
      </c>
      <c r="S7" s="136"/>
      <c r="T7" s="174"/>
    </row>
    <row r="8" spans="2:20" ht="15.6" customHeight="1">
      <c r="B8" s="159" t="s">
        <v>144</v>
      </c>
      <c r="C8" s="89" t="s">
        <v>151</v>
      </c>
      <c r="D8" s="89"/>
      <c r="E8" s="167"/>
      <c r="F8" s="89"/>
      <c r="G8" s="167"/>
      <c r="H8" s="89"/>
      <c r="I8" s="167"/>
      <c r="J8" s="89"/>
      <c r="K8" s="167"/>
      <c r="L8" s="167"/>
      <c r="M8" s="89"/>
      <c r="N8" s="89"/>
      <c r="O8" s="167"/>
      <c r="P8" s="89"/>
      <c r="Q8" s="167"/>
      <c r="R8" s="89"/>
      <c r="S8" s="167"/>
      <c r="T8" s="178"/>
    </row>
    <row r="9" spans="2:20" ht="15.6" customHeight="1">
      <c r="B9" s="160"/>
      <c r="C9" s="90" t="s">
        <v>152</v>
      </c>
      <c r="D9" s="90"/>
      <c r="E9" s="168"/>
      <c r="F9" s="90"/>
      <c r="G9" s="168"/>
      <c r="H9" s="90"/>
      <c r="I9" s="170"/>
      <c r="J9" s="90"/>
      <c r="K9" s="170"/>
      <c r="L9" s="170"/>
      <c r="M9" s="90"/>
      <c r="N9" s="90"/>
      <c r="O9" s="170"/>
      <c r="P9" s="90"/>
      <c r="Q9" s="170"/>
      <c r="R9" s="90"/>
      <c r="S9" s="170"/>
      <c r="T9" s="179"/>
    </row>
    <row r="10" spans="2:20" ht="15.6" customHeight="1">
      <c r="B10" s="111" t="s">
        <v>145</v>
      </c>
      <c r="C10" s="37" t="s">
        <v>151</v>
      </c>
      <c r="D10" s="37"/>
      <c r="E10" s="169"/>
      <c r="F10" s="37"/>
      <c r="G10" s="169"/>
      <c r="H10" s="37"/>
      <c r="I10" s="186"/>
      <c r="J10" s="37"/>
      <c r="K10" s="186"/>
      <c r="L10" s="186"/>
      <c r="M10" s="37"/>
      <c r="N10" s="37"/>
      <c r="O10" s="186"/>
      <c r="P10" s="37"/>
      <c r="Q10" s="186"/>
      <c r="R10" s="37"/>
      <c r="S10" s="186"/>
      <c r="T10" s="163"/>
    </row>
    <row r="11" spans="2:20" ht="15.6" customHeight="1">
      <c r="B11" s="162"/>
      <c r="C11" s="8" t="s">
        <v>152</v>
      </c>
      <c r="D11" s="8"/>
      <c r="E11" s="170"/>
      <c r="F11" s="8"/>
      <c r="G11" s="170"/>
      <c r="H11" s="8"/>
      <c r="I11" s="182"/>
      <c r="J11" s="8"/>
      <c r="K11" s="182"/>
      <c r="L11" s="182"/>
      <c r="M11" s="8"/>
      <c r="N11" s="8"/>
      <c r="O11" s="182"/>
      <c r="P11" s="8"/>
      <c r="Q11" s="182"/>
      <c r="R11" s="8"/>
      <c r="S11" s="182"/>
      <c r="T11" s="164"/>
    </row>
    <row r="12" spans="2:20" ht="15.6" customHeight="1">
      <c r="B12" s="159" t="s">
        <v>146</v>
      </c>
      <c r="C12" s="89" t="s">
        <v>151</v>
      </c>
      <c r="D12" s="89"/>
      <c r="E12" s="167"/>
      <c r="F12" s="89"/>
      <c r="G12" s="167"/>
      <c r="H12" s="89"/>
      <c r="I12" s="191"/>
      <c r="J12" s="89"/>
      <c r="K12" s="191"/>
      <c r="L12" s="191"/>
      <c r="M12" s="89"/>
      <c r="N12" s="89"/>
      <c r="O12" s="191"/>
      <c r="P12" s="89"/>
      <c r="Q12" s="191"/>
      <c r="R12" s="89"/>
      <c r="S12" s="191"/>
      <c r="T12" s="171"/>
    </row>
    <row r="13" spans="2:20" ht="15.6" customHeight="1">
      <c r="B13" s="160"/>
      <c r="C13" s="90" t="s">
        <v>152</v>
      </c>
      <c r="D13" s="90"/>
      <c r="E13" s="168"/>
      <c r="F13" s="90"/>
      <c r="G13" s="168"/>
      <c r="H13" s="90"/>
      <c r="I13" s="182"/>
      <c r="J13" s="90"/>
      <c r="K13" s="182"/>
      <c r="L13" s="182"/>
      <c r="M13" s="90"/>
      <c r="N13" s="90"/>
      <c r="O13" s="182"/>
      <c r="P13" s="90"/>
      <c r="Q13" s="182"/>
      <c r="R13" s="90"/>
      <c r="S13" s="182"/>
      <c r="T13" s="172"/>
    </row>
    <row r="14" spans="2:20" ht="15.6" customHeight="1">
      <c r="B14" s="157" t="s">
        <v>147</v>
      </c>
      <c r="C14" s="11" t="s">
        <v>151</v>
      </c>
      <c r="D14" s="11"/>
      <c r="E14" s="165"/>
      <c r="F14" s="11"/>
      <c r="G14" s="165"/>
      <c r="H14" s="11"/>
      <c r="I14" s="186"/>
      <c r="J14" s="11"/>
      <c r="K14" s="186"/>
      <c r="L14" s="186"/>
      <c r="M14" s="11"/>
      <c r="N14" s="11"/>
      <c r="O14" s="186"/>
      <c r="P14" s="11"/>
      <c r="Q14" s="186"/>
      <c r="R14" s="11"/>
      <c r="S14" s="186"/>
      <c r="T14" s="163"/>
    </row>
    <row r="15" spans="2:20" ht="15.6" customHeight="1">
      <c r="B15" s="158"/>
      <c r="C15" s="88" t="s">
        <v>152</v>
      </c>
      <c r="D15" s="88"/>
      <c r="E15" s="166"/>
      <c r="F15" s="88"/>
      <c r="G15" s="166"/>
      <c r="H15" s="88"/>
      <c r="I15" s="181"/>
      <c r="J15" s="88"/>
      <c r="K15" s="181"/>
      <c r="L15" s="181"/>
      <c r="M15" s="88"/>
      <c r="N15" s="88"/>
      <c r="O15" s="181"/>
      <c r="P15" s="88"/>
      <c r="Q15" s="181"/>
      <c r="R15" s="88"/>
      <c r="S15" s="181"/>
      <c r="T15" s="183"/>
    </row>
    <row r="16" spans="2:20" ht="15.6" customHeight="1">
      <c r="B16" s="159" t="s">
        <v>148</v>
      </c>
      <c r="C16" s="89" t="s">
        <v>151</v>
      </c>
      <c r="D16" s="89"/>
      <c r="E16" s="167"/>
      <c r="F16" s="89"/>
      <c r="G16" s="167"/>
      <c r="H16" s="89"/>
      <c r="I16" s="167"/>
      <c r="J16" s="89"/>
      <c r="K16" s="167"/>
      <c r="L16" s="167"/>
      <c r="M16" s="89"/>
      <c r="N16" s="89"/>
      <c r="O16" s="167"/>
      <c r="P16" s="89"/>
      <c r="Q16" s="89"/>
      <c r="R16" s="89"/>
      <c r="S16" s="89"/>
      <c r="T16" s="178"/>
    </row>
    <row r="17" spans="2:20" ht="15.6" customHeight="1">
      <c r="B17" s="160"/>
      <c r="C17" s="90" t="s">
        <v>152</v>
      </c>
      <c r="D17" s="90"/>
      <c r="E17" s="168"/>
      <c r="F17" s="90"/>
      <c r="G17" s="168"/>
      <c r="H17" s="90"/>
      <c r="I17" s="170"/>
      <c r="J17" s="90"/>
      <c r="K17" s="170"/>
      <c r="L17" s="170"/>
      <c r="M17" s="90"/>
      <c r="N17" s="90"/>
      <c r="O17" s="170"/>
      <c r="P17" s="90"/>
      <c r="Q17" s="90"/>
      <c r="R17" s="90"/>
      <c r="S17" s="90"/>
      <c r="T17" s="184"/>
    </row>
    <row r="18" spans="2:20" ht="15.6" customHeight="1">
      <c r="B18" s="157" t="s">
        <v>149</v>
      </c>
      <c r="C18" s="11" t="s">
        <v>151</v>
      </c>
      <c r="D18" s="11"/>
      <c r="E18" s="165"/>
      <c r="F18" s="11"/>
      <c r="G18" s="165"/>
      <c r="H18" s="11"/>
      <c r="I18" s="192"/>
      <c r="J18" s="11"/>
      <c r="K18" s="192"/>
      <c r="L18" s="192"/>
      <c r="M18" s="11"/>
      <c r="N18" s="11"/>
      <c r="O18" s="192"/>
      <c r="P18" s="11"/>
      <c r="Q18" s="192"/>
      <c r="R18" s="11"/>
      <c r="S18" s="192"/>
      <c r="T18" s="185"/>
    </row>
    <row r="19" spans="2:20" ht="15.6" customHeight="1">
      <c r="B19" s="158"/>
      <c r="C19" s="88" t="s">
        <v>152</v>
      </c>
      <c r="D19" s="88"/>
      <c r="E19" s="166"/>
      <c r="F19" s="88"/>
      <c r="G19" s="166"/>
      <c r="H19" s="88"/>
      <c r="I19" s="181"/>
      <c r="J19" s="88"/>
      <c r="K19" s="181"/>
      <c r="L19" s="181"/>
      <c r="M19" s="88"/>
      <c r="N19" s="88"/>
      <c r="O19" s="181"/>
      <c r="P19" s="88"/>
      <c r="Q19" s="181"/>
      <c r="R19" s="88"/>
      <c r="S19" s="181"/>
      <c r="T19" s="183"/>
    </row>
    <row r="20" spans="2:20" ht="15.6" customHeight="1">
      <c r="B20" s="159" t="s">
        <v>150</v>
      </c>
      <c r="C20" s="89" t="s">
        <v>151</v>
      </c>
      <c r="D20" s="89"/>
      <c r="E20" s="167"/>
      <c r="F20" s="89"/>
      <c r="G20" s="167"/>
      <c r="H20" s="89"/>
      <c r="I20" s="167"/>
      <c r="J20" s="89"/>
      <c r="K20" s="167"/>
      <c r="L20" s="167"/>
      <c r="M20" s="89"/>
      <c r="N20" s="89"/>
      <c r="O20" s="167"/>
      <c r="P20" s="89"/>
      <c r="Q20" s="167"/>
      <c r="R20" s="89"/>
      <c r="S20" s="167"/>
      <c r="T20" s="178"/>
    </row>
    <row r="21" spans="2:20" ht="15.6" customHeight="1">
      <c r="B21" s="160"/>
      <c r="C21" s="90" t="s">
        <v>152</v>
      </c>
      <c r="D21" s="90"/>
      <c r="E21" s="168"/>
      <c r="F21" s="90"/>
      <c r="G21" s="168"/>
      <c r="H21" s="90"/>
      <c r="I21" s="170"/>
      <c r="J21" s="90"/>
      <c r="K21" s="170"/>
      <c r="L21" s="170"/>
      <c r="M21" s="90"/>
      <c r="N21" s="90"/>
      <c r="O21" s="170"/>
      <c r="P21" s="90"/>
      <c r="Q21" s="170"/>
      <c r="R21" s="90"/>
      <c r="S21" s="170"/>
      <c r="T21" s="184"/>
    </row>
    <row r="22" spans="2:20" ht="15.6" customHeight="1"/>
    <row r="23" spans="2:20" ht="15.6" customHeight="1"/>
    <row r="24" spans="2:20" ht="15.6" customHeight="1"/>
    <row r="25" spans="2:20" ht="15.6" customHeight="1"/>
    <row r="26" spans="2:20" ht="15.6" customHeight="1"/>
    <row r="27" spans="2:20" ht="15.6" customHeight="1"/>
    <row r="28" spans="2:20" ht="15.6" customHeight="1"/>
    <row r="29" spans="2:20" ht="15.6" customHeight="1"/>
    <row r="30" spans="2:20" ht="15.6" customHeight="1"/>
  </sheetData>
  <mergeCells count="90">
    <mergeCell ref="K20:K21"/>
    <mergeCell ref="I20:I21"/>
    <mergeCell ref="Q14:Q15"/>
    <mergeCell ref="Q18:Q19"/>
    <mergeCell ref="I14:I15"/>
    <mergeCell ref="I18:I19"/>
    <mergeCell ref="I16:I17"/>
    <mergeCell ref="K16:K17"/>
    <mergeCell ref="K14:K15"/>
    <mergeCell ref="K18:K19"/>
    <mergeCell ref="S14:S15"/>
    <mergeCell ref="S18:S19"/>
    <mergeCell ref="S20:S21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Q10:Q11"/>
    <mergeCell ref="Q12:Q13"/>
    <mergeCell ref="O12:O13"/>
    <mergeCell ref="L12:L13"/>
    <mergeCell ref="K12:K13"/>
    <mergeCell ref="T14:T15"/>
    <mergeCell ref="T16:T17"/>
    <mergeCell ref="T18:T19"/>
    <mergeCell ref="T20:T21"/>
    <mergeCell ref="M5:M6"/>
    <mergeCell ref="N5:O6"/>
    <mergeCell ref="N7:O7"/>
    <mergeCell ref="O8:O9"/>
    <mergeCell ref="R5:S6"/>
    <mergeCell ref="P5:Q6"/>
    <mergeCell ref="P7:Q7"/>
    <mergeCell ref="R7:S7"/>
    <mergeCell ref="Q8:Q9"/>
    <mergeCell ref="S8:S9"/>
    <mergeCell ref="S10:S11"/>
    <mergeCell ref="S12:S13"/>
    <mergeCell ref="T5:T7"/>
    <mergeCell ref="B4:T4"/>
    <mergeCell ref="B3:T3"/>
    <mergeCell ref="B2:T2"/>
    <mergeCell ref="T8:T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T10:T11"/>
    <mergeCell ref="E18:E19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T12:T13"/>
    <mergeCell ref="B20:B21"/>
    <mergeCell ref="B6:B7"/>
    <mergeCell ref="B8:B9"/>
    <mergeCell ref="B10:B11"/>
    <mergeCell ref="B12:B13"/>
    <mergeCell ref="H5:I6"/>
    <mergeCell ref="H7:I7"/>
    <mergeCell ref="B14:B15"/>
    <mergeCell ref="B16:B17"/>
    <mergeCell ref="B18:B19"/>
    <mergeCell ref="I10:I11"/>
    <mergeCell ref="I12:I13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第三页闪蒸工序</vt:lpstr>
      <vt:lpstr>第四页反应液分析数据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猫 熊</cp:lastModifiedBy>
  <dcterms:modified xsi:type="dcterms:W3CDTF">2025-12-24T02:02:15Z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